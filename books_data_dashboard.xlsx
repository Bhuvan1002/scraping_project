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4484e5fb110df70a/Documents/"/>
    </mc:Choice>
  </mc:AlternateContent>
  <xr:revisionPtr revIDLastSave="120" documentId="8_{2D14FCC2-5137-4F33-AB6E-06AFABABEC10}" xr6:coauthVersionLast="47" xr6:coauthVersionMax="47" xr10:uidLastSave="{92F0EAFD-3C77-48C3-9900-25349C1F9529}"/>
  <bookViews>
    <workbookView xWindow="-110" yWindow="-110" windowWidth="19420" windowHeight="11500" activeTab="1" xr2:uid="{B13EE73D-4A81-48B9-963D-B68BA04E78CE}"/>
  </bookViews>
  <sheets>
    <sheet name="dashboard" sheetId="6" r:id="rId1"/>
    <sheet name="data" sheetId="2" r:id="rId2"/>
  </sheets>
  <definedNames>
    <definedName name="_xlchart.v1.0" hidden="1">data!$C$1</definedName>
    <definedName name="_xlchart.v1.1" hidden="1">data!$C$2:$C$58</definedName>
    <definedName name="ExternalData_1" localSheetId="1" hidden="1">data!$A$1:$E$49</definedName>
    <definedName name="Slicer_ratings">#N/A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2" l="1"/>
  <c r="H10" i="2"/>
  <c r="H9" i="2"/>
  <c r="H8" i="2"/>
  <c r="H7" i="2"/>
  <c r="H6" i="2"/>
  <c r="E55" i="2"/>
  <c r="E5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24DDB1-051E-4F91-9A89-21E7F98F5240}" keepAlive="1" name="Query - Table 1" description="Connection to the 'Table 1' query in the workbook." type="5" refreshedVersion="8"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<sst xmlns="http://schemas.openxmlformats.org/spreadsheetml/2006/main" count="129" uniqueCount="95">
  <si>
    <t>author</t>
  </si>
  <si>
    <t>books</t>
  </si>
  <si>
    <t>price</t>
  </si>
  <si>
    <t>ratings</t>
  </si>
  <si>
    <t>number of reviews</t>
  </si>
  <si>
    <t>Ray Bradbury</t>
  </si>
  <si>
    <t>Fahrenheit 451 (Flamingo Modern Classics): The gripping and inspiring classic of dystopian science fiction</t>
  </si>
  <si>
    <t>Gao Xingjian</t>
  </si>
  <si>
    <t>Soul Mountain</t>
  </si>
  <si>
    <t>Lauren Weisberger</t>
  </si>
  <si>
    <t>The Devil Wears Prada: Loved the Movie? Read the Book! (The Devil Wears Prada Series)</t>
  </si>
  <si>
    <t>Paulo Coelho</t>
  </si>
  <si>
    <t>Harper Collins India Like the Flowing River: Thoughts and Reflections</t>
  </si>
  <si>
    <t>Jhumpa Lahiri</t>
  </si>
  <si>
    <t>The Namesake</t>
  </si>
  <si>
    <t>Cecelia Ahern</t>
  </si>
  <si>
    <t>Where Rainbows End Pb</t>
  </si>
  <si>
    <t>Ben Goldacre</t>
  </si>
  <si>
    <t>Bad Science</t>
  </si>
  <si>
    <t>The Winner Stands Alone</t>
  </si>
  <si>
    <t>Jeff VanderMeer</t>
  </si>
  <si>
    <t>Annihilation: Hand Ballet: (10th Anniversary Edition): The bestselling first science fiction novel in the now-classic Southern Reach Series: Book 1 (The Southern Reach Trilogy)</t>
  </si>
  <si>
    <t>Sabaa Tahir</t>
  </si>
  <si>
    <t>A Torch Against The Night - Ember Quartet (2)</t>
  </si>
  <si>
    <t>Agatha Christie</t>
  </si>
  <si>
    <t>Lord Edgware Dies (Poirot)</t>
  </si>
  <si>
    <t>Ac - Three Act Tragedy</t>
  </si>
  <si>
    <t>Ac - Murder In Mesopotamia</t>
  </si>
  <si>
    <t>Cards on the Table (Poirot)</t>
  </si>
  <si>
    <t>The Big Four (Poirot)</t>
  </si>
  <si>
    <t>Murder in the Mews (Poirot)</t>
  </si>
  <si>
    <t>MTG Editorial Board</t>
  </si>
  <si>
    <t>MTG CBSE 10 Years (2025-2016) Chapterwise Topicwise Solved Papers Class 10 English Language &amp; Literature - CBSE Champion For 2026 Exam | Free Video Solution of PYQs (As Per Latest Pattern)</t>
  </si>
  <si>
    <t>MTG CBSE 10 Years (2025-2016) Chapterwise Topicwise Solved Papers Class 12 Physics, Chemistry &amp; Biology (Set of 3 Books) - CBSE Champion For 2026 Exam ... Solution of PYQs (As Per Latest Pattern)</t>
  </si>
  <si>
    <t>MTG CBSE 10 Years (2025-2016) Chapterwise Topicwise Solved Papers Class 12 Economics (PYQs Book) - CBSE Champion For 2026 Exam | CBSE Sample Papers (As Per Latest Pattern)</t>
  </si>
  <si>
    <t>Book</t>
  </si>
  <si>
    <t>MTG CBSE 10 Years (2025-2016) Chapterwise Topicwise Solved Papers Class 12 Physics, Chemistry, Biology &amp; English (Set of 4 Books) - CBSE Champion For ... Solution of PYQs (As Per Latest Pattern)</t>
  </si>
  <si>
    <t>MTG Foundation Course Class 6 Mathematics Book (Edition 2025) For IIT JEE, IMO Olympiad, CUET, NVS, KVPY &amp; Boards Exam | Based on NCERT Latest Pattern</t>
  </si>
  <si>
    <t>MTG Foundation Course Class 6 Physics, Chemistry, Mathematics &amp; Biology Book (Edition 2025) (Set of 4 Books) For IIT JEE, NEET, NSO Olympiad, CUET, NVS, KVPY &amp; Boards Exam | Based on NCERT Latest</t>
  </si>
  <si>
    <t>MTG Foundation Course Class 10 Physics, Chemistry, Mathematics &amp; Biology Book (Edition 2025) (Set of 4 Books) For IIT JEE, NEET, NSO Olympiad, CUET, KVPY &amp; Boards Exam | Based on NCERT Latest Pattern</t>
  </si>
  <si>
    <t>MTG Foundation Course Class 8 Mathematics Book (Edition 2025) For IIT JEE, IMO Olympiad, CUET, NVS, KVPY &amp; Boards Exam | Based on NCERT Latest Pattern</t>
  </si>
  <si>
    <t>PW</t>
  </si>
  <si>
    <t>PW CUET UG Entrance Exam Books 2026 – General Test (GT/Section III) &amp; English, Chapterwise &amp; Topicwise Theory + Exercises, PYQ (2025–2022) | Most Probable MCQs Question Bank | Mock Tests | NTA Pattern</t>
  </si>
  <si>
    <t>PW CUET UG Entrance Exam Books 2026 – Physics Chemistry Mathematics (PCM) Combo Set of 3 | Chapterwise &amp; Topicwise MCQs Question Bank | PYQ (2025–2022) | Mock Tests | Latest NTA Pattern</t>
  </si>
  <si>
    <t>PW CUET UG Entrance Exam Books 2026 – Physics Chemistry Biology (PCB) Combo Set of 3 | Chapterwise &amp; Topicwise MCQs Question Bank | CUET UG PYQ (2025–2022) | Mock Tests | Latest NTA Pattern</t>
  </si>
  <si>
    <t>Physic Wallah</t>
  </si>
  <si>
    <t>PW GATE Abhyas Practice Booster For Mechanical Engineering Vol 1 &amp; 2 and Engineering Mathematics &amp; General Aptitude Combo Set of 3 Books</t>
  </si>
  <si>
    <t>PW GATE Abhyas Practice Booster For Civil Engineering Vol 1 &amp; 2 and Engineering Mathematics &amp; General Aptitude Combo Set of 3 Books</t>
  </si>
  <si>
    <t>PW GATE Abhyas Practice Booster For ECE/EE Vol 1, Electronics &amp; Communication Engineering Vol 2 and Engineering Mathematics &amp; General Aptitude Combo Set of 3 Books</t>
  </si>
  <si>
    <t>PW GATE Abhyas Practice Booster For ECE/EE Vol 1, Electrical Engineering Vol 2 and Engineering Mathematics &amp; General Aptitude Combo Set of 3 Books</t>
  </si>
  <si>
    <t>PW GATE Abhyas Practice Booster For Computer Science &amp; Information Technology Vol 1 &amp; 2 and Engineering Mathematics &amp; General Aptitude Combo Set of 3 Books</t>
  </si>
  <si>
    <t>Wonder House Books</t>
  </si>
  <si>
    <t>Meri Pratham Hindi Sulekh Varnmala: Hindi Writing Practice Book for Kids | Learn Hindi Alphabets (अ–अः) | Ages 3–6 | 2.5 Hours of Writing Practice</t>
  </si>
  <si>
    <t>Cursive Handwriting Practice Workbook: Everyday Words | Level 2 | Ages 6–9 | Build Fluency and Confidence with Daily Writing Practice</t>
  </si>
  <si>
    <t>Amazing Flash Cards Set Of 4 Boxes: Early Development OF Preschool Toddler (220 Cards, Alphabet, Number, Animals, Colors And Shapes)</t>
  </si>
  <si>
    <t>Amazing Flash Cards Alphabet: Early Development of Preschool Toddler (55 Cards)</t>
  </si>
  <si>
    <t>Cursive Handwriting - Everyday Letters and Sentences : Level 2 Practice Workbooks For Children (Set of 2 Books)</t>
  </si>
  <si>
    <t>Pratham Hindi Varnmala: Early Learning Padded Board Book for Children | Learn Hindi Alphabet (अ–अः) with Bright Pictures and Simple Words | Durable Board Book for Babies, Toddlers &amp; Preschoolers | Ages 2–6 Years</t>
  </si>
  <si>
    <t>101 Sight Words and Sentences: Activity Book for Children | 400+ Sentences to Read and Practice | Ages 4–7 | Build Early Reading Fluency with Fun Exercises</t>
  </si>
  <si>
    <t>My First 5 Minutes Fairy Tales Little Red Riding Hood: Traditional Fairy Tales For Children (Abridged and Retold)</t>
  </si>
  <si>
    <t>Pencil Control Super Activity Book for Kids – Practice Lines, Curves, Shapes &amp; Patterns | Develop Fine Motor Skills &amp; Handwriting Readiness | Early Learning Workbook for Toddlers, Preschool &amp; Kindergarten | Ages 3–6 Years | Hours of Lerning time</t>
  </si>
  <si>
    <t>How to Draw: 101 Festive Fusion Step-by-Step Holiday Drawing for Kids | Ages 5+ | Learn to Sketch Christmas, Diwali, Eid &amp; More | 4 Hours of Creative Joy (Activity Book for Kids)</t>
  </si>
  <si>
    <t>Things That Go - Coloring and Sticker Activity Book (With 150+ Stickers)</t>
  </si>
  <si>
    <t>Pick and Paint Coloring Activity Book For Kids: Dinosaurs</t>
  </si>
  <si>
    <t>My Big Wipe And Clean Book of Three Letter Words for Kids : Learn And Trace Words</t>
  </si>
  <si>
    <t>Stencil Book: Animal</t>
  </si>
  <si>
    <t>101 Unicorn Colouring Book: Fun Activity Colouring Book For Children</t>
  </si>
  <si>
    <t>Seek And Find - Vehicles : Early Learning Board Books With Tabs</t>
  </si>
  <si>
    <t>AVERAGE PRICE</t>
  </si>
  <si>
    <t>AVERAGE RATINGS</t>
  </si>
  <si>
    <t xml:space="preserve">TOTAL PRODUCTS </t>
  </si>
  <si>
    <t>0-1</t>
  </si>
  <si>
    <t>count</t>
  </si>
  <si>
    <t>Grand Total</t>
  </si>
  <si>
    <t>Count</t>
  </si>
  <si>
    <t>1-2</t>
  </si>
  <si>
    <t>2-3</t>
  </si>
  <si>
    <t>3-4</t>
  </si>
  <si>
    <t>4-5</t>
  </si>
  <si>
    <t>,</t>
  </si>
  <si>
    <t>Ratings</t>
  </si>
  <si>
    <t>680-780</t>
  </si>
  <si>
    <t>Price Range</t>
  </si>
  <si>
    <t>Amazon Books Data Analysis Dashboard</t>
  </si>
  <si>
    <t>1380-1480</t>
  </si>
  <si>
    <t>1480-1580</t>
  </si>
  <si>
    <t>80-180</t>
  </si>
  <si>
    <t>&lt;80 or (blank)</t>
  </si>
  <si>
    <t>180-280</t>
  </si>
  <si>
    <t>280-380</t>
  </si>
  <si>
    <t>380-480</t>
  </si>
  <si>
    <t>480-580</t>
  </si>
  <si>
    <t>780-880</t>
  </si>
  <si>
    <t>880-980</t>
  </si>
  <si>
    <t>1180-1280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</si>
</sst>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Aptos Narrow"/>
      <family val="2"/>
      <scheme val="minor"/>
    </font>
    <font>
      <b/>
      <i/>
      <sz val="24"/>
      <color theme="1"/>
      <name val="Arial Narrow"/>
      <family val="2"/>
    </font>
    <font>
      <i/>
      <sz val="14"/>
      <color theme="1"/>
      <name val="Arial Narrow"/>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2" fontId="0" fillId="0" borderId="0" xfId="0" applyNumberFormat="1"/>
    <xf numFmtId="0" fontId="0" fillId="0" borderId="0" xfId="0" applyAlignment="1">
      <alignment horizontal="left"/>
    </xf>
    <xf numFmtId="49" fontId="0" fillId="0" borderId="0" xfId="0" applyNumberFormat="1"/>
    <xf numFmtId="0" fontId="2" fillId="2" borderId="0" xfId="0" applyFont="1" applyFill="1" applyAlignment="1">
      <alignment horizontal="left"/>
    </xf>
    <xf numFmtId="0" fontId="2" fillId="2" borderId="0" xfId="0" applyFont="1" applyFill="1"/>
    <xf numFmtId="0" fontId="1" fillId="2" borderId="0" xfId="0" applyFont="1" applyFill="1" applyAlignment="1">
      <alignment horizontal="center" vertical="center"/>
    </xf>
  </cellXfs>
  <cellStyles count="1">
    <cellStyle name="Normal" xfId="0" builtinId="0"/>
  </cellStyles>
  <dxfs count="14">
    <dxf>
      <font>
        <color rgb="FF006100"/>
      </font>
      <fill>
        <patternFill>
          <bgColor rgb="FFC6EFCE"/>
        </patternFill>
      </fill>
    </dxf>
    <dxf>
      <font>
        <color rgb="FF9C0006"/>
      </font>
      <fill>
        <patternFill>
          <bgColor rgb="FFFFC7CE"/>
        </patternFill>
      </fill>
    </dxf>
    <dxf>
      <font>
        <i/>
      </font>
    </dxf>
    <dxf>
      <font>
        <sz val="14"/>
      </font>
    </dxf>
    <dxf>
      <font>
        <sz val="14"/>
      </font>
    </dxf>
    <dxf>
      <font>
        <i/>
      </font>
    </dxf>
    <dxf>
      <font>
        <name val="Arial Narrow"/>
        <scheme val="none"/>
      </font>
    </dxf>
    <dxf>
      <font>
        <name val="Arial Narrow"/>
        <scheme val="none"/>
      </font>
    </dxf>
    <dxf>
      <fill>
        <patternFill patternType="solid">
          <bgColor theme="3" tint="0.749992370372631"/>
        </patternFill>
      </fill>
    </dxf>
    <dxf>
      <fill>
        <patternFill patternType="solid">
          <bgColor theme="3" tint="0.749992370372631"/>
        </patternFill>
      </fill>
    </dxf>
    <dxf>
      <numFmt numFmtId="30" formatCode="@"/>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1" u="none" strike="noStrike" kern="1200" cap="none" spc="0" normalizeH="0" baseline="0" noProof="0">
                <a:ln>
                  <a:noFill/>
                </a:ln>
                <a:solidFill>
                  <a:sysClr val="windowText" lastClr="000000"/>
                </a:solidFill>
                <a:effectLst/>
                <a:uLnTx/>
                <a:uFillTx/>
                <a:latin typeface="Arial Narrow" panose="020B0606020202030204" pitchFamily="34" charset="0"/>
              </a:rPr>
              <a:t>RATINGS DISTRIBUTION</a:t>
            </a:r>
            <a:endParaRPr lang="en-US" i="1">
              <a:solidFill>
                <a:schemeClr val="tx1"/>
              </a:solidFill>
              <a:latin typeface="Arial Narrow" panose="020B0606020202030204" pitchFamily="34" charset="0"/>
            </a:endParaRPr>
          </a:p>
        </c:rich>
      </c:tx>
      <c:overlay val="0"/>
      <c:spPr>
        <a:solidFill>
          <a:schemeClr val="tx2">
            <a:lumMod val="25000"/>
            <a:lumOff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data!$H$1</c:f>
              <c:strCache>
                <c:ptCount val="1"/>
                <c:pt idx="0">
                  <c:v>Count</c:v>
                </c:pt>
              </c:strCache>
            </c:strRef>
          </c:tx>
          <c:spPr>
            <a:solidFill>
              <a:schemeClr val="tx2">
                <a:lumMod val="25000"/>
                <a:lumOff val="75000"/>
              </a:schemeClr>
            </a:solidFill>
            <a:ln>
              <a:noFill/>
            </a:ln>
            <a:effectLst/>
            <a:sp3d/>
          </c:spPr>
          <c:invertIfNegative val="0"/>
          <c:cat>
            <c:strRef>
              <c:f>data!$G$2:$G$10</c:f>
              <c:strCache>
                <c:ptCount val="6"/>
                <c:pt idx="2">
                  <c:v>0-1</c:v>
                </c:pt>
                <c:pt idx="3">
                  <c:v>2-3</c:v>
                </c:pt>
                <c:pt idx="4">
                  <c:v>3-4</c:v>
                </c:pt>
                <c:pt idx="5">
                  <c:v>4-5</c:v>
                </c:pt>
              </c:strCache>
            </c:strRef>
          </c:cat>
          <c:val>
            <c:numRef>
              <c:f>data!$H$2:$H$10</c:f>
              <c:numCache>
                <c:formatCode>General</c:formatCode>
                <c:ptCount val="6"/>
                <c:pt idx="2">
                  <c:v>3</c:v>
                </c:pt>
                <c:pt idx="3">
                  <c:v>0</c:v>
                </c:pt>
                <c:pt idx="4">
                  <c:v>2</c:v>
                </c:pt>
                <c:pt idx="5">
                  <c:v>41</c:v>
                </c:pt>
              </c:numCache>
            </c:numRef>
          </c:val>
          <c:extLst>
            <c:ext xmlns:c16="http://schemas.microsoft.com/office/drawing/2014/chart" uri="{C3380CC4-5D6E-409C-BE32-E72D297353CC}">
              <c16:uniqueId val="{00000000-7AFF-49D0-B210-45F23C897311}"/>
            </c:ext>
          </c:extLst>
        </c:ser>
        <c:dLbls>
          <c:showLegendKey val="0"/>
          <c:showVal val="0"/>
          <c:showCatName val="0"/>
          <c:showSerName val="0"/>
          <c:showPercent val="0"/>
          <c:showBubbleSize val="0"/>
        </c:dLbls>
        <c:gapWidth val="150"/>
        <c:shape val="box"/>
        <c:axId val="921637296"/>
        <c:axId val="921641616"/>
        <c:axId val="0"/>
      </c:bar3DChart>
      <c:catAx>
        <c:axId val="92163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1641616"/>
        <c:crosses val="autoZero"/>
        <c:auto val="1"/>
        <c:lblAlgn val="ctr"/>
        <c:lblOffset val="100"/>
        <c:noMultiLvlLbl val="0"/>
      </c:catAx>
      <c:valAx>
        <c:axId val="92164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163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ysClr val="windowText" lastClr="000000"/>
                </a:solidFill>
                <a:latin typeface="Arial Narrow" panose="020B0606020202030204" pitchFamily="34" charset="0"/>
                <a:ea typeface="+mn-ea"/>
                <a:cs typeface="+mn-cs"/>
              </a:defRPr>
            </a:pPr>
            <a:r>
              <a:rPr lang="en-IN" i="1">
                <a:solidFill>
                  <a:sysClr val="windowText" lastClr="000000"/>
                </a:solidFill>
                <a:latin typeface="Arial Narrow" panose="020B0606020202030204" pitchFamily="34" charset="0"/>
              </a:rPr>
              <a:t>TOP</a:t>
            </a:r>
            <a:r>
              <a:rPr lang="en-IN" i="1" baseline="0">
                <a:solidFill>
                  <a:sysClr val="windowText" lastClr="000000"/>
                </a:solidFill>
                <a:latin typeface="Arial Narrow" panose="020B0606020202030204" pitchFamily="34" charset="0"/>
              </a:rPr>
              <a:t> RATED BOOKS</a:t>
            </a:r>
            <a:endParaRPr lang="en-IN" i="1">
              <a:solidFill>
                <a:sysClr val="windowText" lastClr="000000"/>
              </a:solidFill>
              <a:latin typeface="Arial Narrow" panose="020B0606020202030204" pitchFamily="34" charset="0"/>
            </a:endParaRPr>
          </a:p>
        </c:rich>
      </c:tx>
      <c:overlay val="0"/>
      <c:spPr>
        <a:solidFill>
          <a:schemeClr val="tx2">
            <a:lumMod val="25000"/>
            <a:lumOff val="75000"/>
          </a:schemeClr>
        </a:solid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tx2">
                <a:lumMod val="25000"/>
                <a:lumOff val="75000"/>
              </a:schemeClr>
            </a:solidFill>
            <a:ln>
              <a:noFill/>
            </a:ln>
            <a:effectLst/>
            <a:sp3d/>
          </c:spPr>
          <c:invertIfNegative val="0"/>
          <c:val>
            <c:numRef>
              <c:f>data!$E$2:$E$11</c:f>
              <c:numCache>
                <c:formatCode>General</c:formatCode>
                <c:ptCount val="7"/>
                <c:pt idx="0">
                  <c:v>49</c:v>
                </c:pt>
                <c:pt idx="1">
                  <c:v>1</c:v>
                </c:pt>
                <c:pt idx="2">
                  <c:v>2</c:v>
                </c:pt>
                <c:pt idx="3">
                  <c:v>33</c:v>
                </c:pt>
                <c:pt idx="4">
                  <c:v>64</c:v>
                </c:pt>
                <c:pt idx="5">
                  <c:v>34</c:v>
                </c:pt>
                <c:pt idx="6">
                  <c:v>24</c:v>
                </c:pt>
              </c:numCache>
            </c:numRef>
          </c:val>
          <c:extLst>
            <c:ext xmlns:c16="http://schemas.microsoft.com/office/drawing/2014/chart" uri="{C3380CC4-5D6E-409C-BE32-E72D297353CC}">
              <c16:uniqueId val="{00000000-AAD5-4555-BB3E-3070A1B46E9C}"/>
            </c:ext>
          </c:extLst>
        </c:ser>
        <c:dLbls>
          <c:showLegendKey val="0"/>
          <c:showVal val="0"/>
          <c:showCatName val="0"/>
          <c:showSerName val="0"/>
          <c:showPercent val="0"/>
          <c:showBubbleSize val="0"/>
        </c:dLbls>
        <c:gapWidth val="150"/>
        <c:shape val="box"/>
        <c:axId val="921589776"/>
        <c:axId val="921587376"/>
        <c:axId val="0"/>
      </c:bar3DChart>
      <c:catAx>
        <c:axId val="921589776"/>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1587376"/>
        <c:crosses val="autoZero"/>
        <c:auto val="1"/>
        <c:lblAlgn val="ctr"/>
        <c:lblOffset val="100"/>
        <c:noMultiLvlLbl val="0"/>
      </c:catAx>
      <c:valAx>
        <c:axId val="92158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158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PRICE DISTRIBUTION</cx:v>
        </cx:txData>
      </cx:tx>
      <cx:spPr>
        <a:solidFill>
          <a:schemeClr val="tx2">
            <a:lumMod val="25000"/>
            <a:lumOff val="75000"/>
          </a:schemeClr>
        </a:solidFill>
      </cx:spPr>
      <cx:txPr>
        <a:bodyPr spcFirstLastPara="1" vertOverflow="ellipsis" horzOverflow="overflow" wrap="square" lIns="0" tIns="0" rIns="0" bIns="0" anchor="ctr" anchorCtr="1"/>
        <a:lstStyle/>
        <a:p>
          <a:pPr algn="ctr" rtl="0">
            <a:defRPr i="1">
              <a:solidFill>
                <a:sysClr val="windowText" lastClr="000000"/>
              </a:solidFill>
              <a:latin typeface="Arial Narrow" panose="020B0606020202030204" pitchFamily="34" charset="0"/>
              <a:ea typeface="Arial Narrow" panose="020B0606020202030204" pitchFamily="34" charset="0"/>
              <a:cs typeface="Arial Narrow" panose="020B0606020202030204" pitchFamily="34" charset="0"/>
            </a:defRPr>
          </a:pPr>
          <a:r>
            <a:rPr lang="en-US" sz="1400" b="0" i="1" u="none" strike="noStrike" baseline="0">
              <a:solidFill>
                <a:sysClr val="windowText" lastClr="000000"/>
              </a:solidFill>
              <a:latin typeface="Arial Narrow" panose="020B0606020202030204" pitchFamily="34" charset="0"/>
            </a:rPr>
            <a:t>PRICE DISTRIBUTION</a:t>
          </a:r>
        </a:p>
      </cx:txPr>
    </cx:title>
    <cx:plotArea>
      <cx:plotAreaRegion>
        <cx:series layoutId="clusteredColumn" uniqueId="{3258EC02-A6AC-4538-AB5D-7ADA10DBB875}">
          <cx:tx>
            <cx:txData>
              <cx:f>_xlchart.v1.0</cx:f>
              <cx:v>price</cx:v>
            </cx:txData>
          </cx:tx>
          <cx:spPr>
            <a:solidFill>
              <a:schemeClr val="tx2">
                <a:lumMod val="25000"/>
                <a:lumOff val="75000"/>
              </a:schemeClr>
            </a:solidFill>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39277</xdr:colOff>
      <xdr:row>26</xdr:row>
      <xdr:rowOff>77335</xdr:rowOff>
    </xdr:from>
    <xdr:to>
      <xdr:col>14</xdr:col>
      <xdr:colOff>104741</xdr:colOff>
      <xdr:row>44</xdr:row>
      <xdr:rowOff>19639</xdr:rowOff>
    </xdr:to>
    <xdr:graphicFrame macro="">
      <xdr:nvGraphicFramePr>
        <xdr:cNvPr id="4" name="Chart 4">
          <a:extLst>
            <a:ext uri="{FF2B5EF4-FFF2-40B4-BE49-F238E27FC236}">
              <a16:creationId xmlns:a16="http://schemas.microsoft.com/office/drawing/2014/main" id="{27BE150F-21F9-4352-B042-DD94C3F4D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67734</xdr:colOff>
      <xdr:row>6</xdr:row>
      <xdr:rowOff>41234</xdr:rowOff>
    </xdr:from>
    <xdr:to>
      <xdr:col>4</xdr:col>
      <xdr:colOff>397933</xdr:colOff>
      <xdr:row>9</xdr:row>
      <xdr:rowOff>74221</xdr:rowOff>
    </xdr:to>
    <xdr:sp macro="" textlink="data!$E$55">
      <xdr:nvSpPr>
        <xdr:cNvPr id="5" name="Rectangle: Rounded Corners 4">
          <a:extLst>
            <a:ext uri="{FF2B5EF4-FFF2-40B4-BE49-F238E27FC236}">
              <a16:creationId xmlns:a16="http://schemas.microsoft.com/office/drawing/2014/main" id="{137EEDAB-F3BA-487A-A72F-50BA704CF50E}"/>
            </a:ext>
          </a:extLst>
        </xdr:cNvPr>
        <xdr:cNvSpPr/>
      </xdr:nvSpPr>
      <xdr:spPr>
        <a:xfrm>
          <a:off x="67734" y="1146134"/>
          <a:ext cx="2768599" cy="58543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r"/>
          <a:fld id="{FE80A3F8-89B4-4205-98DF-E451274C917A}" type="TxLink">
            <a:rPr lang="en-US" sz="1200" b="0" i="1" u="none" strike="noStrike">
              <a:solidFill>
                <a:srgbClr val="000000"/>
              </a:solidFill>
              <a:latin typeface="Arial Narrow" panose="020B0606020202030204" pitchFamily="34" charset="0"/>
            </a:rPr>
            <a:pPr algn="r"/>
            <a:t>₹ 478.44</a:t>
          </a:fld>
          <a:endParaRPr lang="en-IN" sz="1200" i="1">
            <a:latin typeface="Arial Narrow" panose="020B0606020202030204" pitchFamily="34" charset="0"/>
          </a:endParaRPr>
        </a:p>
      </xdr:txBody>
    </xdr:sp>
    <xdr:clientData/>
  </xdr:twoCellAnchor>
  <xdr:oneCellAnchor>
    <xdr:from>
      <xdr:col>0</xdr:col>
      <xdr:colOff>0</xdr:colOff>
      <xdr:row>6</xdr:row>
      <xdr:rowOff>119531</xdr:rowOff>
    </xdr:from>
    <xdr:ext cx="2173941" cy="1344706"/>
    <xdr:sp macro="" textlink="">
      <xdr:nvSpPr>
        <xdr:cNvPr id="6" name="TextBox 5">
          <a:extLst>
            <a:ext uri="{FF2B5EF4-FFF2-40B4-BE49-F238E27FC236}">
              <a16:creationId xmlns:a16="http://schemas.microsoft.com/office/drawing/2014/main" id="{0ACD0C82-65A9-4B70-B30D-28E4A5F76BD2}"/>
            </a:ext>
          </a:extLst>
        </xdr:cNvPr>
        <xdr:cNvSpPr txBox="1"/>
      </xdr:nvSpPr>
      <xdr:spPr>
        <a:xfrm>
          <a:off x="0" y="1224431"/>
          <a:ext cx="2173941" cy="1344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i="1">
              <a:latin typeface="Arial Narrow" panose="020B0606020202030204" pitchFamily="34" charset="0"/>
            </a:rPr>
            <a:t>AVERAGE</a:t>
          </a:r>
          <a:r>
            <a:rPr lang="en-IN" sz="1100"/>
            <a:t> </a:t>
          </a:r>
          <a:r>
            <a:rPr lang="en-IN" sz="1200" i="1">
              <a:latin typeface="Arial Narrow" panose="020B0606020202030204" pitchFamily="34" charset="0"/>
            </a:rPr>
            <a:t>PRICE</a:t>
          </a:r>
          <a:r>
            <a:rPr lang="en-IN" sz="1100"/>
            <a:t> :</a:t>
          </a:r>
        </a:p>
      </xdr:txBody>
    </xdr:sp>
    <xdr:clientData/>
  </xdr:oneCellAnchor>
  <xdr:twoCellAnchor>
    <xdr:from>
      <xdr:col>4</xdr:col>
      <xdr:colOff>745067</xdr:colOff>
      <xdr:row>6</xdr:row>
      <xdr:rowOff>7471</xdr:rowOff>
    </xdr:from>
    <xdr:to>
      <xdr:col>9</xdr:col>
      <xdr:colOff>127000</xdr:colOff>
      <xdr:row>9</xdr:row>
      <xdr:rowOff>67733</xdr:rowOff>
    </xdr:to>
    <xdr:sp macro="" textlink="data!$E$52">
      <xdr:nvSpPr>
        <xdr:cNvPr id="7" name="Rectangle: Rounded Corners 6">
          <a:extLst>
            <a:ext uri="{FF2B5EF4-FFF2-40B4-BE49-F238E27FC236}">
              <a16:creationId xmlns:a16="http://schemas.microsoft.com/office/drawing/2014/main" id="{45B9E65E-D25F-4F71-9EBE-A6D132A97140}"/>
            </a:ext>
          </a:extLst>
        </xdr:cNvPr>
        <xdr:cNvSpPr/>
      </xdr:nvSpPr>
      <xdr:spPr>
        <a:xfrm>
          <a:off x="3050117" y="1112371"/>
          <a:ext cx="2563283" cy="61271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r"/>
          <a:fld id="{36D92B28-4802-4086-A761-1D95E5129560}" type="TxLink">
            <a:rPr lang="en-US" sz="1200" b="0" i="1" u="none" strike="noStrike">
              <a:solidFill>
                <a:srgbClr val="000000"/>
              </a:solidFill>
              <a:latin typeface="Arial Narrow" panose="020B0606020202030204" pitchFamily="34" charset="0"/>
            </a:rPr>
            <a:pPr algn="r"/>
            <a:t>48</a:t>
          </a:fld>
          <a:endParaRPr lang="en-IN" sz="1200" i="1">
            <a:latin typeface="Arial Narrow" panose="020B0606020202030204" pitchFamily="34" charset="0"/>
          </a:endParaRPr>
        </a:p>
      </xdr:txBody>
    </xdr:sp>
    <xdr:clientData/>
  </xdr:twoCellAnchor>
  <xdr:oneCellAnchor>
    <xdr:from>
      <xdr:col>5</xdr:col>
      <xdr:colOff>201706</xdr:colOff>
      <xdr:row>6</xdr:row>
      <xdr:rowOff>112059</xdr:rowOff>
    </xdr:from>
    <xdr:ext cx="1830294" cy="418354"/>
    <xdr:sp macro="" textlink="">
      <xdr:nvSpPr>
        <xdr:cNvPr id="8" name="TextBox 7">
          <a:extLst>
            <a:ext uri="{FF2B5EF4-FFF2-40B4-BE49-F238E27FC236}">
              <a16:creationId xmlns:a16="http://schemas.microsoft.com/office/drawing/2014/main" id="{F71B1C3A-5F67-4E3C-A298-7C30A9E96E39}"/>
            </a:ext>
          </a:extLst>
        </xdr:cNvPr>
        <xdr:cNvSpPr txBox="1"/>
      </xdr:nvSpPr>
      <xdr:spPr>
        <a:xfrm>
          <a:off x="3249706" y="1216959"/>
          <a:ext cx="1830294" cy="4183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i="1">
              <a:latin typeface="Arial Narrow" panose="020B0606020202030204" pitchFamily="34" charset="0"/>
            </a:rPr>
            <a:t>TOTAL</a:t>
          </a:r>
          <a:r>
            <a:rPr lang="en-IN" sz="1200" i="1" baseline="0">
              <a:latin typeface="Arial Narrow" panose="020B0606020202030204" pitchFamily="34" charset="0"/>
            </a:rPr>
            <a:t> PRODUCTS :</a:t>
          </a:r>
          <a:endParaRPr lang="en-IN" sz="1200" i="1">
            <a:latin typeface="Arial Narrow" panose="020B0606020202030204" pitchFamily="34" charset="0"/>
          </a:endParaRPr>
        </a:p>
      </xdr:txBody>
    </xdr:sp>
    <xdr:clientData/>
  </xdr:oneCellAnchor>
  <xdr:twoCellAnchor>
    <xdr:from>
      <xdr:col>9</xdr:col>
      <xdr:colOff>440266</xdr:colOff>
      <xdr:row>6</xdr:row>
      <xdr:rowOff>0</xdr:rowOff>
    </xdr:from>
    <xdr:to>
      <xdr:col>14</xdr:col>
      <xdr:colOff>22412</xdr:colOff>
      <xdr:row>9</xdr:row>
      <xdr:rowOff>52294</xdr:rowOff>
    </xdr:to>
    <xdr:sp macro="" textlink="data!$E$58">
      <xdr:nvSpPr>
        <xdr:cNvPr id="9" name="Rectangle: Rounded Corners 8">
          <a:extLst>
            <a:ext uri="{FF2B5EF4-FFF2-40B4-BE49-F238E27FC236}">
              <a16:creationId xmlns:a16="http://schemas.microsoft.com/office/drawing/2014/main" id="{0E1C6D9A-64D2-4055-9B9F-871A8F4BA8F6}"/>
            </a:ext>
          </a:extLst>
        </xdr:cNvPr>
        <xdr:cNvSpPr/>
      </xdr:nvSpPr>
      <xdr:spPr>
        <a:xfrm>
          <a:off x="5926666" y="1104900"/>
          <a:ext cx="2630146" cy="60474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r"/>
          <a:fld id="{CB5B3527-3EE7-46DA-BF91-16370E42A984}" type="TxLink">
            <a:rPr lang="en-US" sz="1100" b="0" i="0" u="none" strike="noStrike">
              <a:solidFill>
                <a:srgbClr val="000000"/>
              </a:solidFill>
              <a:latin typeface="Aptos Narrow"/>
            </a:rPr>
            <a:pPr algn="r"/>
            <a:t>4.10</a:t>
          </a:fld>
          <a:endParaRPr lang="en-IN" sz="1200" i="1">
            <a:latin typeface="Arial Narrow" panose="020B0606020202030204" pitchFamily="34" charset="0"/>
          </a:endParaRPr>
        </a:p>
      </xdr:txBody>
    </xdr:sp>
    <xdr:clientData/>
  </xdr:twoCellAnchor>
  <xdr:oneCellAnchor>
    <xdr:from>
      <xdr:col>9</xdr:col>
      <xdr:colOff>590177</xdr:colOff>
      <xdr:row>6</xdr:row>
      <xdr:rowOff>112059</xdr:rowOff>
    </xdr:from>
    <xdr:ext cx="1643530" cy="425823"/>
    <xdr:sp macro="" textlink="">
      <xdr:nvSpPr>
        <xdr:cNvPr id="10" name="TextBox 9">
          <a:extLst>
            <a:ext uri="{FF2B5EF4-FFF2-40B4-BE49-F238E27FC236}">
              <a16:creationId xmlns:a16="http://schemas.microsoft.com/office/drawing/2014/main" id="{EB81E49C-17D5-40BE-911E-8B151F639E21}"/>
            </a:ext>
          </a:extLst>
        </xdr:cNvPr>
        <xdr:cNvSpPr txBox="1"/>
      </xdr:nvSpPr>
      <xdr:spPr>
        <a:xfrm>
          <a:off x="6076577" y="1216959"/>
          <a:ext cx="1643530" cy="425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i="1">
              <a:latin typeface="Arial Narrow" panose="020B0606020202030204" pitchFamily="34" charset="0"/>
            </a:rPr>
            <a:t>AVERAGE</a:t>
          </a:r>
          <a:r>
            <a:rPr lang="en-IN" sz="1200" baseline="0"/>
            <a:t> </a:t>
          </a:r>
          <a:r>
            <a:rPr lang="en-IN" sz="1200" i="1" baseline="0">
              <a:latin typeface="Arial Narrow" panose="020B0606020202030204" pitchFamily="34" charset="0"/>
            </a:rPr>
            <a:t>RATINGS</a:t>
          </a:r>
          <a:r>
            <a:rPr lang="en-IN" sz="1200" baseline="0"/>
            <a:t> :</a:t>
          </a:r>
          <a:endParaRPr lang="en-IN" sz="1200"/>
        </a:p>
      </xdr:txBody>
    </xdr:sp>
    <xdr:clientData/>
  </xdr:oneCellAnchor>
  <xdr:oneCellAnchor>
    <xdr:from>
      <xdr:col>14</xdr:col>
      <xdr:colOff>209020</xdr:colOff>
      <xdr:row>25</xdr:row>
      <xdr:rowOff>116284</xdr:rowOff>
    </xdr:from>
    <xdr:ext cx="1836267" cy="3424073"/>
    <mc:AlternateContent xmlns:mc="http://schemas.openxmlformats.org/markup-compatibility/2006">
      <mc:Choice xmlns:a14="http://schemas.microsoft.com/office/drawing/2010/main" Requires="a14">
        <xdr:graphicFrame macro="">
          <xdr:nvGraphicFramePr>
            <xdr:cNvPr id="11" name="ratings">
              <a:extLst>
                <a:ext uri="{FF2B5EF4-FFF2-40B4-BE49-F238E27FC236}">
                  <a16:creationId xmlns:a16="http://schemas.microsoft.com/office/drawing/2014/main" id="{48E3115C-A74B-4784-9FE2-D657AC4B0C88}"/>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9547255" y="4897460"/>
              <a:ext cx="1836267" cy="3424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1867</xdr:colOff>
      <xdr:row>10</xdr:row>
      <xdr:rowOff>119062</xdr:rowOff>
    </xdr:from>
    <xdr:to>
      <xdr:col>6</xdr:col>
      <xdr:colOff>450943</xdr:colOff>
      <xdr:row>25</xdr:row>
      <xdr:rowOff>146408</xdr:rowOff>
    </xdr:to>
    <xdr:graphicFrame macro="">
      <xdr:nvGraphicFramePr>
        <xdr:cNvPr id="12" name="Chart 1">
          <a:extLst>
            <a:ext uri="{FF2B5EF4-FFF2-40B4-BE49-F238E27FC236}">
              <a16:creationId xmlns:a16="http://schemas.microsoft.com/office/drawing/2014/main" id="{44884C25-057D-CFF0-D34E-07D8B8C07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506161</xdr:colOff>
      <xdr:row>10</xdr:row>
      <xdr:rowOff>121328</xdr:rowOff>
    </xdr:from>
    <xdr:to>
      <xdr:col>14</xdr:col>
      <xdr:colOff>92030</xdr:colOff>
      <xdr:row>25</xdr:row>
      <xdr:rowOff>165652</xdr:rowOff>
    </xdr:to>
    <mc:AlternateContent xmlns:mc="http://schemas.openxmlformats.org/markup-compatibility/2006">
      <mc:Choice xmlns:cx1="http://schemas.microsoft.com/office/drawing/2015/9/8/chartex" Requires="cx1">
        <xdr:graphicFrame macro="">
          <xdr:nvGraphicFramePr>
            <xdr:cNvPr id="13" name="Chart 5">
              <a:extLst>
                <a:ext uri="{FF2B5EF4-FFF2-40B4-BE49-F238E27FC236}">
                  <a16:creationId xmlns:a16="http://schemas.microsoft.com/office/drawing/2014/main" id="{5802B0FB-8E87-3237-C52A-BD0C5DB309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97175" y="2007922"/>
              <a:ext cx="4445000" cy="29432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 refreshedDate="46075.08624675926" createdVersion="8" refreshedVersion="8" minRefreshableVersion="3" recordCount="48" xr:uid="{93B65204-33FD-4819-AE59-12132680A784}">
  <cacheSource type="worksheet">
    <worksheetSource name="Table_1"/>
  </cacheSource>
  <cacheFields count="5">
    <cacheField name="author" numFmtId="0">
      <sharedItems/>
    </cacheField>
    <cacheField name="books" numFmtId="0">
      <sharedItems/>
    </cacheField>
    <cacheField name="price" numFmtId="0">
      <sharedItems containsString="0" containsBlank="1" containsNumber="1" minValue="79" maxValue="1517" count="42">
        <n v="307"/>
        <n v="512"/>
        <n v="350"/>
        <n v="260"/>
        <n v="312"/>
        <n v="376"/>
        <n v="371"/>
        <n v="250"/>
        <n v="416"/>
        <n v="360"/>
        <n v="256.11"/>
        <n v="261.89"/>
        <n v="291"/>
        <n v="269"/>
        <n v="267"/>
        <n v="235"/>
        <n v="837"/>
        <n v="195"/>
        <n v="1199"/>
        <n v="349"/>
        <n v="961"/>
        <n v="1489"/>
        <n v="396"/>
        <n v="432"/>
        <n v="714"/>
        <n v="703"/>
        <n v="1437"/>
        <n v="1517"/>
        <n v="1397"/>
        <n v="1398"/>
        <n v="179"/>
        <n v="119"/>
        <n v="299"/>
        <n v="99"/>
        <n v="199"/>
        <n v="359"/>
        <n v="79"/>
        <n v="169"/>
        <n v="189"/>
        <n v="165"/>
        <n v="279"/>
        <m u="1"/>
      </sharedItems>
      <fieldGroup base="2">
        <rangePr autoStart="0" startNum="80" endNum="1517" groupInterval="100"/>
        <groupItems count="17">
          <s v="&lt;80 or (blank)"/>
          <s v="80-180"/>
          <s v="180-280"/>
          <s v="280-380"/>
          <s v="380-480"/>
          <s v="480-580"/>
          <s v="580-680"/>
          <s v="680-780"/>
          <s v="780-880"/>
          <s v="880-980"/>
          <s v="980-1080"/>
          <s v="1080-1180"/>
          <s v="1180-1280"/>
          <s v="1280-1380"/>
          <s v="1380-1480"/>
          <s v="1480-1580"/>
          <s v="&gt;1580"/>
        </groupItems>
      </fieldGroup>
    </cacheField>
    <cacheField name="ratings" numFmtId="0">
      <sharedItems containsSemiMixedTypes="0" containsString="0" containsNumber="1" minValue="0" maxValue="5" count="13">
        <n v="4.4000000000000004"/>
        <n v="4.0999999999999996"/>
        <n v="4.2"/>
        <n v="4.3"/>
        <n v="4.5"/>
        <n v="4"/>
        <n v="4.5999999999999996"/>
        <n v="4.7"/>
        <n v="3.9"/>
        <n v="0"/>
        <n v="5"/>
        <n v="3.8"/>
        <n v="4.8"/>
      </sharedItems>
    </cacheField>
    <cacheField name="number of reviews" numFmtId="0">
      <sharedItems containsString="0" containsBlank="1" containsNumber="1" containsInteger="1" minValue="1" maxValue="56828"/>
    </cacheField>
  </cacheFields>
  <extLst>
    <ext xmlns:x14="http://schemas.microsoft.com/office/spreadsheetml/2009/9/main" uri="{725AE2AE-9491-48be-B2B4-4EB974FC3084}">
      <x14:pivotCacheDefinition pivotCacheId="1260658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Ray Bradbury"/>
    <s v="Fahrenheit 451 (Flamingo Modern Classics): The gripping and inspiring classic of dystopian science fiction"/>
    <x v="0"/>
    <x v="0"/>
    <n v="56828"/>
  </r>
  <r>
    <s v="Gao Xingjian"/>
    <s v="Soul Mountain"/>
    <x v="1"/>
    <x v="1"/>
    <n v="225"/>
  </r>
  <r>
    <s v="Lauren Weisberger"/>
    <s v="The Devil Wears Prada: Loved the Movie? Read the Book! (The Devil Wears Prada Series)"/>
    <x v="2"/>
    <x v="2"/>
    <n v="3948"/>
  </r>
  <r>
    <s v="Paulo Coelho"/>
    <s v="Harper Collins India Like the Flowing River: Thoughts and Reflections"/>
    <x v="3"/>
    <x v="3"/>
    <n v="1949"/>
  </r>
  <r>
    <s v="Jhumpa Lahiri"/>
    <s v="The Namesake"/>
    <x v="4"/>
    <x v="4"/>
    <n v="10600"/>
  </r>
  <r>
    <s v="Cecelia Ahern"/>
    <s v="Where Rainbows End Pb"/>
    <x v="5"/>
    <x v="3"/>
    <n v="6245"/>
  </r>
  <r>
    <s v="Ben Goldacre"/>
    <s v="Bad Science"/>
    <x v="6"/>
    <x v="0"/>
    <n v="3841"/>
  </r>
  <r>
    <s v="Paulo Coelho"/>
    <s v="The Winner Stands Alone"/>
    <x v="7"/>
    <x v="3"/>
    <n v="1168"/>
  </r>
  <r>
    <s v="Jeff VanderMeer"/>
    <s v="Annihilation: Hand Ballet: (10th Anniversary Edition): The bestselling first science fiction novel in the now-classic Southern Reach Series: Book 1 (The Southern Reach Trilogy)"/>
    <x v="8"/>
    <x v="5"/>
    <n v="26500"/>
  </r>
  <r>
    <s v="Sabaa Tahir"/>
    <s v="A Torch Against The Night - Ember Quartet (2)"/>
    <x v="9"/>
    <x v="4"/>
    <n v="15356"/>
  </r>
  <r>
    <s v="Agatha Christie"/>
    <s v="Lord Edgware Dies (Poirot)"/>
    <x v="10"/>
    <x v="4"/>
    <n v="6734"/>
  </r>
  <r>
    <s v="Agatha Christie"/>
    <s v="Ac - Three Act Tragedy"/>
    <x v="11"/>
    <x v="0"/>
    <n v="4565"/>
  </r>
  <r>
    <s v="Agatha Christie"/>
    <s v="Ac - Murder In Mesopotamia"/>
    <x v="12"/>
    <x v="4"/>
    <n v="6034"/>
  </r>
  <r>
    <s v="Agatha Christie"/>
    <s v="Cards on the Table (Poirot)"/>
    <x v="13"/>
    <x v="4"/>
    <n v="6897"/>
  </r>
  <r>
    <s v="Agatha Christie"/>
    <s v="The Big Four (Poirot)"/>
    <x v="14"/>
    <x v="2"/>
    <n v="8338"/>
  </r>
  <r>
    <s v="Agatha Christie"/>
    <s v="Murder in the Mews (Poirot)"/>
    <x v="3"/>
    <x v="0"/>
    <n v="4328"/>
  </r>
  <r>
    <s v="MTG Editorial Board"/>
    <s v="MTG CBSE 10 Years (2025-2016) Chapterwise Topicwise Solved Papers Class 10 English Language &amp; Literature - CBSE Champion For 2026 Exam | Free Video Solution of PYQs (As Per Latest Pattern)"/>
    <x v="15"/>
    <x v="3"/>
    <n v="62"/>
  </r>
  <r>
    <s v="MTG Editorial Board"/>
    <s v="MTG CBSE 10 Years (2025-2016) Chapterwise Topicwise Solved Papers Class 12 Physics, Chemistry &amp; Biology (Set of 3 Books) - CBSE Champion For 2026 Exam ... Solution of PYQs (As Per Latest Pattern)"/>
    <x v="16"/>
    <x v="0"/>
    <n v="34"/>
  </r>
  <r>
    <s v="MTG Editorial Board"/>
    <s v="MTG CBSE 10 Years (2025-2016) Chapterwise Topicwise Solved Papers Class 12 Economics (PYQs Book) - CBSE Champion For 2026 Exam | CBSE Sample Papers (As Per Latest Pattern)"/>
    <x v="17"/>
    <x v="0"/>
    <n v="6"/>
  </r>
  <r>
    <s v="Book"/>
    <s v="MTG CBSE 10 Years (2025-2016) Chapterwise Topicwise Solved Papers Class 12 Physics, Chemistry, Biology &amp; English (Set of 4 Books) - CBSE Champion For ... Solution of PYQs (As Per Latest Pattern)"/>
    <x v="18"/>
    <x v="6"/>
    <n v="33"/>
  </r>
  <r>
    <s v="MTG Editorial Board"/>
    <s v="MTG Foundation Course Class 6 Mathematics Book (Edition 2025) For IIT JEE, IMO Olympiad, CUET, NVS, KVPY &amp; Boards Exam | Based on NCERT Latest Pattern"/>
    <x v="19"/>
    <x v="0"/>
    <n v="33"/>
  </r>
  <r>
    <s v="MTG Editorial Board"/>
    <s v="MTG Foundation Course Class 6 Physics, Chemistry, Mathematics &amp; Biology Book (Edition 2025) (Set of 4 Books) For IIT JEE, NEET, NSO Olympiad, CUET, NVS, KVPY &amp; Boards Exam | Based on NCERT Latest"/>
    <x v="20"/>
    <x v="3"/>
    <n v="64"/>
  </r>
  <r>
    <s v="MTG Editorial Board"/>
    <s v="MTG Foundation Course Class 10 Physics, Chemistry, Mathematics &amp; Biology Book (Edition 2025) (Set of 4 Books) For IIT JEE, NEET, NSO Olympiad, CUET, KVPY &amp; Boards Exam | Based on NCERT Latest Pattern"/>
    <x v="21"/>
    <x v="7"/>
    <n v="49"/>
  </r>
  <r>
    <s v="MTG Editorial Board"/>
    <s v="MTG Foundation Course Class 8 Mathematics Book (Edition 2025) For IIT JEE, IMO Olympiad, CUET, NVS, KVPY &amp; Boards Exam | Based on NCERT Latest Pattern"/>
    <x v="22"/>
    <x v="6"/>
    <n v="81"/>
  </r>
  <r>
    <s v="PW"/>
    <s v="PW CUET UG Entrance Exam Books 2026 – General Test (GT/Section III) &amp; English, Chapterwise &amp; Topicwise Theory + Exercises, PYQ (2025–2022) | Most Probable MCQs Question Bank | Mock Tests | NTA Pattern"/>
    <x v="23"/>
    <x v="1"/>
    <n v="293"/>
  </r>
  <r>
    <s v="PW"/>
    <s v="PW CUET UG Entrance Exam Books 2026 – Physics Chemistry Mathematics (PCM) Combo Set of 3 | Chapterwise &amp; Topicwise MCQs Question Bank | PYQ (2025–2022) | Mock Tests | Latest NTA Pattern"/>
    <x v="24"/>
    <x v="8"/>
    <n v="24"/>
  </r>
  <r>
    <s v="PW"/>
    <s v="PW CUET UG Entrance Exam Books 2026 – Physics Chemistry Biology (PCB) Combo Set of 3 | Chapterwise &amp; Topicwise MCQs Question Bank | CUET UG PYQ (2025–2022) | Mock Tests | Latest NTA Pattern"/>
    <x v="25"/>
    <x v="3"/>
    <n v="15"/>
  </r>
  <r>
    <s v="Physic Wallah"/>
    <s v="PW GATE Abhyas Practice Booster For Mechanical Engineering Vol 1 &amp; 2 and Engineering Mathematics &amp; General Aptitude Combo Set of 3 Books"/>
    <x v="26"/>
    <x v="9"/>
    <m/>
  </r>
  <r>
    <s v="Physic Wallah"/>
    <s v="PW GATE Abhyas Practice Booster For Civil Engineering Vol 1 &amp; 2 and Engineering Mathematics &amp; General Aptitude Combo Set of 3 Books"/>
    <x v="27"/>
    <x v="9"/>
    <m/>
  </r>
  <r>
    <s v="Physic Wallah"/>
    <s v="PW GATE Abhyas Practice Booster For ECE/EE Vol 1, Electronics &amp; Communication Engineering Vol 2 and Engineering Mathematics &amp; General Aptitude Combo Set of 3 Books"/>
    <x v="28"/>
    <x v="9"/>
    <m/>
  </r>
  <r>
    <s v="Physic Wallah"/>
    <s v="PW GATE Abhyas Practice Booster For ECE/EE Vol 1, Electrical Engineering Vol 2 and Engineering Mathematics &amp; General Aptitude Combo Set of 3 Books"/>
    <x v="29"/>
    <x v="10"/>
    <n v="1"/>
  </r>
  <r>
    <s v="Physic Wallah"/>
    <s v="PW GATE Abhyas Practice Booster For Computer Science &amp; Information Technology Vol 1 &amp; 2 and Engineering Mathematics &amp; General Aptitude Combo Set of 3 Books"/>
    <x v="28"/>
    <x v="10"/>
    <n v="2"/>
  </r>
  <r>
    <s v="Wonder House Books"/>
    <s v="Meri Pratham Hindi Sulekh Varnmala: Hindi Writing Practice Book for Kids | Learn Hindi Alphabets (अ–अः) | Ages 3–6 | 2.5 Hours of Writing Practice"/>
    <x v="30"/>
    <x v="0"/>
    <n v="884"/>
  </r>
  <r>
    <s v="Wonder House Books"/>
    <s v="Cursive Handwriting Practice Workbook: Everyday Words | Level 2 | Ages 6–9 | Build Fluency and Confidence with Daily Writing Practice"/>
    <x v="31"/>
    <x v="2"/>
    <n v="322"/>
  </r>
  <r>
    <s v="Wonder House Books"/>
    <s v="Amazing Flash Cards Set Of 4 Boxes: Early Development OF Preschool Toddler (220 Cards, Alphabet, Number, Animals, Colors And Shapes)"/>
    <x v="32"/>
    <x v="5"/>
    <n v="670"/>
  </r>
  <r>
    <s v="Wonder House Books"/>
    <s v="Amazing Flash Cards Alphabet: Early Development of Preschool Toddler (55 Cards)"/>
    <x v="33"/>
    <x v="11"/>
    <n v="714"/>
  </r>
  <r>
    <s v="Wonder House Books"/>
    <s v="Cursive Handwriting - Everyday Letters and Sentences : Level 2 Practice Workbooks For Children (Set of 2 Books)"/>
    <x v="34"/>
    <x v="3"/>
    <n v="1030"/>
  </r>
  <r>
    <s v="Wonder House Books"/>
    <s v="Pratham Hindi Varnmala: Early Learning Padded Board Book for Children | Learn Hindi Alphabet (अ–अः) with Bright Pictures and Simple Words | Durable Board Book for Babies, Toddlers &amp; Preschoolers | Ages 2–6 Years"/>
    <x v="35"/>
    <x v="0"/>
    <n v="1506"/>
  </r>
  <r>
    <s v="Wonder House Books"/>
    <s v="101 Sight Words and Sentences: Activity Book for Children | 400+ Sentences to Read and Practice | Ages 4–7 | Build Early Reading Fluency with Fun Exercises"/>
    <x v="34"/>
    <x v="0"/>
    <n v="623"/>
  </r>
  <r>
    <s v="Wonder House Books"/>
    <s v="My First 5 Minutes Fairy Tales Little Red Riding Hood: Traditional Fairy Tales For Children (Abridged and Retold)"/>
    <x v="36"/>
    <x v="4"/>
    <n v="802"/>
  </r>
  <r>
    <s v="Wonder House Books"/>
    <s v="Pencil Control Super Activity Book for Kids – Practice Lines, Curves, Shapes &amp; Patterns | Develop Fine Motor Skills &amp; Handwriting Readiness | Early Learning Workbook for Toddlers, Preschool &amp; Kindergarten | Ages 3–6 Years | Hours of Lerning time"/>
    <x v="37"/>
    <x v="4"/>
    <n v="605"/>
  </r>
  <r>
    <s v="Wonder House Books"/>
    <s v="How to Draw: 101 Festive Fusion Step-by-Step Holiday Drawing for Kids | Ages 5+ | Learn to Sketch Christmas, Diwali, Eid &amp; More | 4 Hours of Creative Joy (Activity Book for Kids)"/>
    <x v="38"/>
    <x v="3"/>
    <n v="11"/>
  </r>
  <r>
    <s v="Wonder House Books"/>
    <s v="Things That Go - Coloring and Sticker Activity Book (With 150+ Stickers)"/>
    <x v="39"/>
    <x v="3"/>
    <n v="722"/>
  </r>
  <r>
    <s v="Wonder House Books"/>
    <s v="Pick and Paint Coloring Activity Book For Kids: Dinosaurs"/>
    <x v="31"/>
    <x v="1"/>
    <n v="172"/>
  </r>
  <r>
    <s v="Wonder House Books"/>
    <s v="My Big Wipe And Clean Book of Three Letter Words for Kids : Learn And Trace Words"/>
    <x v="13"/>
    <x v="0"/>
    <n v="562"/>
  </r>
  <r>
    <s v="Wonder House Books"/>
    <s v="Stencil Book: Animal"/>
    <x v="32"/>
    <x v="12"/>
    <n v="15"/>
  </r>
  <r>
    <s v="Wonder House Books"/>
    <s v="101 Unicorn Colouring Book: Fun Activity Colouring Book For Children"/>
    <x v="37"/>
    <x v="0"/>
    <n v="2707"/>
  </r>
  <r>
    <s v="Wonder House Books"/>
    <s v="Seek And Find - Vehicles : Early Learning Board Books With Tabs"/>
    <x v="40"/>
    <x v="6"/>
    <n v="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25FAD0-51A9-4284-B5B1-6976B066A5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ce Range">
  <location ref="P8:P21" firstHeaderRow="1" firstDataRow="1" firstDataCol="1"/>
  <pivotFields count="5">
    <pivotField showAll="0"/>
    <pivotField showAll="0"/>
    <pivotField axis="axisRow" showAll="0">
      <items count="18">
        <item x="0"/>
        <item x="1"/>
        <item x="2"/>
        <item x="3"/>
        <item x="4"/>
        <item x="5"/>
        <item x="6"/>
        <item x="7"/>
        <item x="8"/>
        <item x="9"/>
        <item x="10"/>
        <item x="11"/>
        <item x="12"/>
        <item x="13"/>
        <item x="14"/>
        <item x="15"/>
        <item x="16"/>
        <item t="default"/>
      </items>
    </pivotField>
    <pivotField showAll="0">
      <items count="14">
        <item x="9"/>
        <item x="11"/>
        <item x="8"/>
        <item x="5"/>
        <item x="1"/>
        <item x="2"/>
        <item x="3"/>
        <item x="0"/>
        <item x="4"/>
        <item x="6"/>
        <item x="7"/>
        <item x="12"/>
        <item x="10"/>
        <item t="default"/>
      </items>
    </pivotField>
    <pivotField showAll="0"/>
  </pivotFields>
  <rowFields count="1">
    <field x="2"/>
  </rowFields>
  <rowItems count="13">
    <i>
      <x/>
    </i>
    <i>
      <x v="1"/>
    </i>
    <i>
      <x v="2"/>
    </i>
    <i>
      <x v="3"/>
    </i>
    <i>
      <x v="4"/>
    </i>
    <i>
      <x v="5"/>
    </i>
    <i>
      <x v="7"/>
    </i>
    <i>
      <x v="8"/>
    </i>
    <i>
      <x v="9"/>
    </i>
    <i>
      <x v="12"/>
    </i>
    <i>
      <x v="14"/>
    </i>
    <i>
      <x v="15"/>
    </i>
    <i t="grand">
      <x/>
    </i>
  </rowItems>
  <colItems count="1">
    <i/>
  </colItems>
  <formats count="8">
    <format dxfId="9">
      <pivotArea field="2" type="button" dataOnly="0" labelOnly="1" outline="0" axis="axisRow" fieldPosition="0"/>
    </format>
    <format dxfId="8">
      <pivotArea dataOnly="0" labelOnly="1" grandRow="1" outline="0" fieldPosition="0"/>
    </format>
    <format dxfId="7">
      <pivotArea field="2" type="button" dataOnly="0" labelOnly="1" outline="0" axis="axisRow" fieldPosition="0"/>
    </format>
    <format dxfId="6">
      <pivotArea dataOnly="0" labelOnly="1" grandRow="1" outline="0" fieldPosition="0"/>
    </format>
    <format dxfId="5">
      <pivotArea dataOnly="0" labelOnly="1" grandRow="1" outline="0" fieldPosition="0"/>
    </format>
    <format dxfId="4">
      <pivotArea dataOnly="0" labelOnly="1" grandRow="1" outline="0" fieldPosition="0"/>
    </format>
    <format dxfId="3">
      <pivotArea field="2" type="button" dataOnly="0" labelOnly="1" outline="0" axis="axisRow" fieldPosition="0"/>
    </format>
    <format dxfId="2">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233A569-6327-449F-8374-6618647C88ED}" autoFormatId="16" applyNumberFormats="0" applyBorderFormats="0" applyFontFormats="0" applyPatternFormats="0" applyAlignmentFormats="0" applyWidthHeightFormats="0">
  <queryTableRefresh nextId="7">
    <queryTableFields count="5">
      <queryTableField id="1" name="author" tableColumnId="1"/>
      <queryTableField id="2" name="books" tableColumnId="2"/>
      <queryTableField id="3" name="price" tableColumnId="3"/>
      <queryTableField id="4" name="ratings" tableColumnId="4"/>
      <queryTableField id="5" name="number of review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81137F4C-E272-432B-8AE5-13F807103963}" sourceName="ratings">
  <pivotTables>
    <pivotTable tabId="6" name="PivotTable7"/>
  </pivotTables>
  <data>
    <tabular pivotCacheId="1260658099">
      <items count="13">
        <i x="9" s="1"/>
        <i x="11" s="1"/>
        <i x="8" s="1"/>
        <i x="5" s="1"/>
        <i x="1" s="1"/>
        <i x="2" s="1"/>
        <i x="3" s="1"/>
        <i x="0" s="1"/>
        <i x="4" s="1"/>
        <i x="6" s="1"/>
        <i x="7" s="1"/>
        <i x="12"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 xr10:uid="{567EB9E6-92B4-471E-BA34-48C14B56DECB}" cache="Slicer_ratings" caption="ratings"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925DDF-C318-4E99-AB8B-DA150D14CE7A}" name="Table_1" displayName="Table_1" ref="A1:E49" tableType="queryTable" totalsRowShown="0">
  <autoFilter ref="A1:E49" xr:uid="{57925DDF-C318-4E99-AB8B-DA150D14CE7A}">
    <filterColumn colId="4">
      <customFilters>
        <customFilter operator="notEqual" val=" "/>
      </customFilters>
    </filterColumn>
  </autoFilter>
  <sortState xmlns:xlrd2="http://schemas.microsoft.com/office/spreadsheetml/2017/richdata2" ref="A2:E49">
    <sortCondition descending="1" ref="C1:C49"/>
  </sortState>
  <tableColumns count="5">
    <tableColumn id="1" xr3:uid="{94EFD5DA-091D-42CF-8575-5F2468CD7D79}" uniqueName="1" name="author" queryTableFieldId="1" dataDxfId="13"/>
    <tableColumn id="2" xr3:uid="{CC052A50-8F57-4D44-99C6-C402A26D75C4}" uniqueName="2" name="books" queryTableFieldId="2" dataDxfId="12"/>
    <tableColumn id="3" xr3:uid="{619FFC51-EF08-42DA-8DFA-69F3E6DCB859}" uniqueName="3" name="price" queryTableFieldId="3"/>
    <tableColumn id="4" xr3:uid="{3758CD96-DEE3-45EF-9026-BBB50D9AACC1}" uniqueName="4" name="ratings" queryTableFieldId="4" dataDxfId="11"/>
    <tableColumn id="5" xr3:uid="{A62851CA-1198-4EF8-B8B2-8FD3705B5830}" uniqueName="5" name="number of reviews" queryTableField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CADECE-73C1-40AA-939B-CA051771DF45}" name="Table3" displayName="Table3" ref="G1:H10" totalsRowShown="0">
  <autoFilter ref="G1:H10" xr:uid="{76CADECE-73C1-40AA-939B-CA051771DF45}"/>
  <tableColumns count="2">
    <tableColumn id="1" xr3:uid="{F664118F-B708-41DA-879D-C2B3E6F4B499}" name="Ratings" dataDxfId="10"/>
    <tableColumn id="2" xr3:uid="{F31AA866-324A-434E-87BB-A177692FA3E6}"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6E12-8B62-4F27-9DFB-83E5F3DB00FB}">
  <dimension ref="A1:P21"/>
  <sheetViews>
    <sheetView showGridLines="0" showRowColHeaders="0" zoomScale="68" workbookViewId="0">
      <selection activeCell="U10" sqref="U10"/>
    </sheetView>
  </sheetViews>
  <sheetFormatPr defaultRowHeight="14.5" x14ac:dyDescent="0.35"/>
  <cols>
    <col min="1" max="1" width="14.7265625" bestFit="1" customWidth="1"/>
    <col min="2" max="2" width="7.36328125" bestFit="1" customWidth="1"/>
    <col min="5" max="5" width="16.08984375" bestFit="1" customWidth="1"/>
    <col min="16" max="16" width="20.6328125" customWidth="1"/>
    <col min="17" max="17" width="23" customWidth="1"/>
  </cols>
  <sheetData>
    <row r="1" spans="1:16" ht="14.5" customHeight="1" x14ac:dyDescent="0.35">
      <c r="A1" s="7" t="s">
        <v>83</v>
      </c>
      <c r="B1" s="7"/>
      <c r="C1" s="7"/>
      <c r="D1" s="7"/>
      <c r="E1" s="7"/>
      <c r="F1" s="7"/>
      <c r="G1" s="7"/>
      <c r="H1" s="7"/>
      <c r="I1" s="7"/>
      <c r="J1" s="7"/>
      <c r="K1" s="7"/>
      <c r="L1" s="7"/>
      <c r="M1" s="7"/>
      <c r="N1" s="7"/>
      <c r="O1" s="7"/>
      <c r="P1" s="7"/>
    </row>
    <row r="2" spans="1:16" ht="14.5" customHeight="1" x14ac:dyDescent="0.35">
      <c r="A2" s="7"/>
      <c r="B2" s="7"/>
      <c r="C2" s="7"/>
      <c r="D2" s="7"/>
      <c r="E2" s="7"/>
      <c r="F2" s="7"/>
      <c r="G2" s="7"/>
      <c r="H2" s="7"/>
      <c r="I2" s="7"/>
      <c r="J2" s="7"/>
      <c r="K2" s="7"/>
      <c r="L2" s="7"/>
      <c r="M2" s="7"/>
      <c r="N2" s="7"/>
      <c r="O2" s="7"/>
      <c r="P2" s="7"/>
    </row>
    <row r="3" spans="1:16" ht="14.5" customHeight="1" x14ac:dyDescent="0.35">
      <c r="A3" s="7"/>
      <c r="B3" s="7"/>
      <c r="C3" s="7"/>
      <c r="D3" s="7"/>
      <c r="E3" s="7"/>
      <c r="F3" s="7"/>
      <c r="G3" s="7"/>
      <c r="H3" s="7"/>
      <c r="I3" s="7"/>
      <c r="J3" s="7"/>
      <c r="K3" s="7"/>
      <c r="L3" s="7"/>
      <c r="M3" s="7"/>
      <c r="N3" s="7"/>
      <c r="O3" s="7"/>
      <c r="P3" s="7"/>
    </row>
    <row r="8" spans="1:16" ht="18" x14ac:dyDescent="0.4">
      <c r="P8" s="6" t="s">
        <v>82</v>
      </c>
    </row>
    <row r="9" spans="1:16" x14ac:dyDescent="0.35">
      <c r="P9" s="3" t="s">
        <v>87</v>
      </c>
    </row>
    <row r="10" spans="1:16" x14ac:dyDescent="0.35">
      <c r="P10" s="3" t="s">
        <v>86</v>
      </c>
    </row>
    <row r="11" spans="1:16" x14ac:dyDescent="0.35">
      <c r="P11" s="3" t="s">
        <v>88</v>
      </c>
    </row>
    <row r="12" spans="1:16" ht="18" x14ac:dyDescent="0.4">
      <c r="P12" s="3" t="s">
        <v>89</v>
      </c>
    </row>
    <row r="13" spans="1:16" x14ac:dyDescent="0.35">
      <c r="P13" s="3" t="s">
        <v>90</v>
      </c>
    </row>
    <row r="14" spans="1:16" x14ac:dyDescent="0.35">
      <c r="P14" s="3" t="s">
        <v>91</v>
      </c>
    </row>
    <row r="15" spans="1:16" x14ac:dyDescent="0.35">
      <c r="P15" s="3" t="s">
        <v>81</v>
      </c>
    </row>
    <row r="16" spans="1:16" x14ac:dyDescent="0.35">
      <c r="P16" s="3" t="s">
        <v>92</v>
      </c>
    </row>
    <row r="17" spans="16:16" x14ac:dyDescent="0.35">
      <c r="P17" s="3" t="s">
        <v>93</v>
      </c>
    </row>
    <row r="18" spans="16:16" x14ac:dyDescent="0.35">
      <c r="P18" s="3" t="s">
        <v>94</v>
      </c>
    </row>
    <row r="19" spans="16:16" x14ac:dyDescent="0.35">
      <c r="P19" s="3" t="s">
        <v>84</v>
      </c>
    </row>
    <row r="20" spans="16:16" x14ac:dyDescent="0.35">
      <c r="P20" s="3" t="s">
        <v>85</v>
      </c>
    </row>
    <row r="21" spans="16:16" ht="18" x14ac:dyDescent="0.4">
      <c r="P21" s="5" t="s">
        <v>73</v>
      </c>
    </row>
  </sheetData>
  <mergeCells count="1">
    <mergeCell ref="A1:P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2CB9-907D-468F-BE69-A1EEEDFE5E27}">
  <dimension ref="A1:H58"/>
  <sheetViews>
    <sheetView tabSelected="1" topLeftCell="B29" zoomScale="101" zoomScaleNormal="175" workbookViewId="0">
      <selection activeCell="F12" sqref="F12"/>
    </sheetView>
  </sheetViews>
  <sheetFormatPr defaultRowHeight="15" customHeight="1" x14ac:dyDescent="0.35"/>
  <cols>
    <col min="1" max="1" width="18.1796875" bestFit="1" customWidth="1"/>
    <col min="2" max="2" width="80.7265625" bestFit="1" customWidth="1"/>
    <col min="3" max="3" width="7.36328125" bestFit="1" customWidth="1"/>
    <col min="4" max="4" width="16.1796875" style="2" bestFit="1" customWidth="1"/>
    <col min="5" max="5" width="18.453125" bestFit="1" customWidth="1"/>
    <col min="6" max="6" width="18.453125" customWidth="1"/>
    <col min="7" max="8" width="10.453125" customWidth="1"/>
  </cols>
  <sheetData>
    <row r="1" spans="1:8" ht="14.5" x14ac:dyDescent="0.35">
      <c r="A1" t="s">
        <v>0</v>
      </c>
      <c r="B1" t="s">
        <v>1</v>
      </c>
      <c r="C1" t="s">
        <v>2</v>
      </c>
      <c r="D1" s="2" t="s">
        <v>3</v>
      </c>
      <c r="E1" t="s">
        <v>4</v>
      </c>
      <c r="G1" s="4" t="s">
        <v>80</v>
      </c>
      <c r="H1" t="s">
        <v>74</v>
      </c>
    </row>
    <row r="2" spans="1:8" ht="14.5" hidden="1" x14ac:dyDescent="0.35">
      <c r="A2" t="s">
        <v>45</v>
      </c>
      <c r="B2" t="s">
        <v>47</v>
      </c>
      <c r="C2">
        <v>1517</v>
      </c>
      <c r="D2">
        <v>0</v>
      </c>
      <c r="G2" s="4" t="s">
        <v>3</v>
      </c>
      <c r="H2" t="s">
        <v>72</v>
      </c>
    </row>
    <row r="3" spans="1:8" ht="14.5" x14ac:dyDescent="0.35">
      <c r="A3" t="s">
        <v>31</v>
      </c>
      <c r="B3" t="s">
        <v>39</v>
      </c>
      <c r="C3">
        <v>1489</v>
      </c>
      <c r="D3">
        <v>4.7</v>
      </c>
      <c r="E3">
        <v>49</v>
      </c>
      <c r="G3" s="4"/>
    </row>
    <row r="4" spans="1:8" ht="14.5" hidden="1" x14ac:dyDescent="0.35">
      <c r="A4" t="s">
        <v>45</v>
      </c>
      <c r="B4" t="s">
        <v>46</v>
      </c>
      <c r="C4">
        <v>1437</v>
      </c>
      <c r="D4">
        <v>0</v>
      </c>
      <c r="G4" s="4"/>
    </row>
    <row r="5" spans="1:8" ht="14.5" x14ac:dyDescent="0.35">
      <c r="A5" t="s">
        <v>45</v>
      </c>
      <c r="B5" t="s">
        <v>49</v>
      </c>
      <c r="C5">
        <v>1398</v>
      </c>
      <c r="D5">
        <v>5</v>
      </c>
      <c r="E5">
        <v>1</v>
      </c>
      <c r="G5" s="4"/>
    </row>
    <row r="6" spans="1:8" ht="14.5" x14ac:dyDescent="0.35">
      <c r="A6" t="s">
        <v>45</v>
      </c>
      <c r="B6" t="s">
        <v>50</v>
      </c>
      <c r="C6">
        <v>1397</v>
      </c>
      <c r="D6">
        <v>5</v>
      </c>
      <c r="E6">
        <v>2</v>
      </c>
      <c r="G6" s="4" t="s">
        <v>71</v>
      </c>
      <c r="H6">
        <f>COUNTIFS(D:D,"&gt;=0",D:D,"&lt;1")</f>
        <v>3</v>
      </c>
    </row>
    <row r="7" spans="1:8" ht="14.5" hidden="1" x14ac:dyDescent="0.35">
      <c r="A7" t="s">
        <v>45</v>
      </c>
      <c r="B7" t="s">
        <v>48</v>
      </c>
      <c r="C7">
        <v>1397</v>
      </c>
      <c r="D7">
        <v>0</v>
      </c>
      <c r="G7" s="4" t="s">
        <v>75</v>
      </c>
      <c r="H7">
        <f>COUNTIFS(D:D,"&gt;=1",D:D,"&lt;2")</f>
        <v>0</v>
      </c>
    </row>
    <row r="8" spans="1:8" ht="14.5" x14ac:dyDescent="0.35">
      <c r="A8" t="s">
        <v>35</v>
      </c>
      <c r="B8" t="s">
        <v>36</v>
      </c>
      <c r="C8">
        <v>1199</v>
      </c>
      <c r="D8">
        <v>4.5999999999999996</v>
      </c>
      <c r="E8">
        <v>33</v>
      </c>
      <c r="G8" s="4" t="s">
        <v>76</v>
      </c>
      <c r="H8">
        <f>COUNTIFS(D:D,"&gt;=2",D:D,"&lt;3")</f>
        <v>0</v>
      </c>
    </row>
    <row r="9" spans="1:8" ht="14.5" x14ac:dyDescent="0.35">
      <c r="A9" t="s">
        <v>31</v>
      </c>
      <c r="B9" t="s">
        <v>38</v>
      </c>
      <c r="C9">
        <v>961</v>
      </c>
      <c r="D9">
        <v>4.3</v>
      </c>
      <c r="E9">
        <v>64</v>
      </c>
      <c r="G9" s="4" t="s">
        <v>77</v>
      </c>
      <c r="H9">
        <f>COUNTIFS(D:D,"&gt;=3",D:D,"&lt;4")</f>
        <v>2</v>
      </c>
    </row>
    <row r="10" spans="1:8" ht="14.5" x14ac:dyDescent="0.35">
      <c r="A10" t="s">
        <v>31</v>
      </c>
      <c r="B10" t="s">
        <v>33</v>
      </c>
      <c r="C10">
        <v>837</v>
      </c>
      <c r="D10">
        <v>4.4000000000000004</v>
      </c>
      <c r="E10">
        <v>34</v>
      </c>
      <c r="G10" s="4" t="s">
        <v>78</v>
      </c>
      <c r="H10">
        <f>COUNTIFS(D:D,"&gt;=4",D:D,"&lt;5")</f>
        <v>41</v>
      </c>
    </row>
    <row r="11" spans="1:8" ht="14.5" x14ac:dyDescent="0.35">
      <c r="A11" t="s">
        <v>41</v>
      </c>
      <c r="B11" t="s">
        <v>43</v>
      </c>
      <c r="C11">
        <v>714</v>
      </c>
      <c r="D11">
        <v>3.9</v>
      </c>
      <c r="E11">
        <v>24</v>
      </c>
      <c r="G11" s="4"/>
      <c r="H11" t="s">
        <v>79</v>
      </c>
    </row>
    <row r="12" spans="1:8" ht="14.5" x14ac:dyDescent="0.35">
      <c r="A12" t="s">
        <v>41</v>
      </c>
      <c r="B12" t="s">
        <v>44</v>
      </c>
      <c r="C12">
        <v>703</v>
      </c>
      <c r="D12">
        <v>4.3</v>
      </c>
      <c r="E12">
        <v>15</v>
      </c>
    </row>
    <row r="13" spans="1:8" ht="14.5" x14ac:dyDescent="0.35">
      <c r="A13" t="s">
        <v>7</v>
      </c>
      <c r="B13" t="s">
        <v>8</v>
      </c>
      <c r="C13">
        <v>512</v>
      </c>
      <c r="D13">
        <v>4.0999999999999996</v>
      </c>
      <c r="E13">
        <v>225</v>
      </c>
    </row>
    <row r="14" spans="1:8" ht="14.5" x14ac:dyDescent="0.35">
      <c r="A14" t="s">
        <v>41</v>
      </c>
      <c r="B14" t="s">
        <v>42</v>
      </c>
      <c r="C14">
        <v>432</v>
      </c>
      <c r="D14">
        <v>4.0999999999999996</v>
      </c>
      <c r="E14">
        <v>293</v>
      </c>
    </row>
    <row r="15" spans="1:8" ht="14.5" x14ac:dyDescent="0.35">
      <c r="A15" t="s">
        <v>20</v>
      </c>
      <c r="B15" t="s">
        <v>21</v>
      </c>
      <c r="C15">
        <v>416</v>
      </c>
      <c r="D15">
        <v>4</v>
      </c>
      <c r="E15">
        <v>26500</v>
      </c>
    </row>
    <row r="16" spans="1:8" ht="14.5" x14ac:dyDescent="0.35">
      <c r="A16" t="s">
        <v>31</v>
      </c>
      <c r="B16" t="s">
        <v>40</v>
      </c>
      <c r="C16">
        <v>396</v>
      </c>
      <c r="D16">
        <v>4.5999999999999996</v>
      </c>
      <c r="E16">
        <v>81</v>
      </c>
    </row>
    <row r="17" spans="1:5" ht="14.5" x14ac:dyDescent="0.35">
      <c r="A17" t="s">
        <v>15</v>
      </c>
      <c r="B17" t="s">
        <v>16</v>
      </c>
      <c r="C17">
        <v>376</v>
      </c>
      <c r="D17">
        <v>4.3</v>
      </c>
      <c r="E17">
        <v>6245</v>
      </c>
    </row>
    <row r="18" spans="1:5" ht="14.5" x14ac:dyDescent="0.35">
      <c r="A18" t="s">
        <v>17</v>
      </c>
      <c r="B18" t="s">
        <v>18</v>
      </c>
      <c r="C18">
        <v>371</v>
      </c>
      <c r="D18">
        <v>4.4000000000000004</v>
      </c>
      <c r="E18">
        <v>3841</v>
      </c>
    </row>
    <row r="19" spans="1:5" ht="14.5" x14ac:dyDescent="0.35">
      <c r="A19" t="s">
        <v>22</v>
      </c>
      <c r="B19" t="s">
        <v>23</v>
      </c>
      <c r="C19">
        <v>360</v>
      </c>
      <c r="D19">
        <v>4.5</v>
      </c>
      <c r="E19">
        <v>15356</v>
      </c>
    </row>
    <row r="20" spans="1:5" ht="14.5" x14ac:dyDescent="0.35">
      <c r="A20" t="s">
        <v>51</v>
      </c>
      <c r="B20" t="s">
        <v>57</v>
      </c>
      <c r="C20">
        <v>359</v>
      </c>
      <c r="D20">
        <v>4.4000000000000004</v>
      </c>
      <c r="E20">
        <v>1506</v>
      </c>
    </row>
    <row r="21" spans="1:5" ht="14.5" x14ac:dyDescent="0.35">
      <c r="A21" t="s">
        <v>9</v>
      </c>
      <c r="B21" t="s">
        <v>10</v>
      </c>
      <c r="C21">
        <v>350</v>
      </c>
      <c r="D21">
        <v>4.2</v>
      </c>
      <c r="E21">
        <v>3948</v>
      </c>
    </row>
    <row r="22" spans="1:5" ht="14.5" x14ac:dyDescent="0.35">
      <c r="A22" t="s">
        <v>31</v>
      </c>
      <c r="B22" t="s">
        <v>37</v>
      </c>
      <c r="C22">
        <v>349</v>
      </c>
      <c r="D22">
        <v>4.4000000000000004</v>
      </c>
      <c r="E22">
        <v>33</v>
      </c>
    </row>
    <row r="23" spans="1:5" ht="14.5" x14ac:dyDescent="0.35">
      <c r="A23" t="s">
        <v>13</v>
      </c>
      <c r="B23" t="s">
        <v>14</v>
      </c>
      <c r="C23">
        <v>312</v>
      </c>
      <c r="D23">
        <v>4.5</v>
      </c>
      <c r="E23">
        <v>10600</v>
      </c>
    </row>
    <row r="24" spans="1:5" ht="14.5" x14ac:dyDescent="0.35">
      <c r="A24" t="s">
        <v>5</v>
      </c>
      <c r="B24" t="s">
        <v>6</v>
      </c>
      <c r="C24">
        <v>307</v>
      </c>
      <c r="D24">
        <v>4.4000000000000004</v>
      </c>
      <c r="E24">
        <v>56828</v>
      </c>
    </row>
    <row r="25" spans="1:5" ht="14.5" x14ac:dyDescent="0.35">
      <c r="A25" t="s">
        <v>51</v>
      </c>
      <c r="B25" t="s">
        <v>65</v>
      </c>
      <c r="C25">
        <v>299</v>
      </c>
      <c r="D25">
        <v>4.8</v>
      </c>
      <c r="E25">
        <v>15</v>
      </c>
    </row>
    <row r="26" spans="1:5" ht="14.5" x14ac:dyDescent="0.35">
      <c r="A26" t="s">
        <v>51</v>
      </c>
      <c r="B26" t="s">
        <v>54</v>
      </c>
      <c r="C26">
        <v>299</v>
      </c>
      <c r="D26">
        <v>4</v>
      </c>
      <c r="E26">
        <v>670</v>
      </c>
    </row>
    <row r="27" spans="1:5" ht="14.5" x14ac:dyDescent="0.35">
      <c r="A27" t="s">
        <v>24</v>
      </c>
      <c r="B27" t="s">
        <v>27</v>
      </c>
      <c r="C27">
        <v>291</v>
      </c>
      <c r="D27">
        <v>4.5</v>
      </c>
      <c r="E27">
        <v>6034</v>
      </c>
    </row>
    <row r="28" spans="1:5" ht="14.5" x14ac:dyDescent="0.35">
      <c r="A28" t="s">
        <v>51</v>
      </c>
      <c r="B28" t="s">
        <v>67</v>
      </c>
      <c r="C28">
        <v>279</v>
      </c>
      <c r="D28">
        <v>4.5999999999999996</v>
      </c>
      <c r="E28">
        <v>915</v>
      </c>
    </row>
    <row r="29" spans="1:5" ht="14.5" x14ac:dyDescent="0.35">
      <c r="A29" t="s">
        <v>24</v>
      </c>
      <c r="B29" t="s">
        <v>28</v>
      </c>
      <c r="C29">
        <v>269</v>
      </c>
      <c r="D29">
        <v>4.5</v>
      </c>
      <c r="E29">
        <v>6897</v>
      </c>
    </row>
    <row r="30" spans="1:5" ht="14.5" x14ac:dyDescent="0.35">
      <c r="A30" t="s">
        <v>51</v>
      </c>
      <c r="B30" t="s">
        <v>64</v>
      </c>
      <c r="C30">
        <v>269</v>
      </c>
      <c r="D30">
        <v>4.4000000000000004</v>
      </c>
      <c r="E30">
        <v>562</v>
      </c>
    </row>
    <row r="31" spans="1:5" ht="14.5" x14ac:dyDescent="0.35">
      <c r="A31" t="s">
        <v>24</v>
      </c>
      <c r="B31" t="s">
        <v>29</v>
      </c>
      <c r="C31">
        <v>267</v>
      </c>
      <c r="D31">
        <v>4.2</v>
      </c>
      <c r="E31">
        <v>8338</v>
      </c>
    </row>
    <row r="32" spans="1:5" ht="14.5" x14ac:dyDescent="0.35">
      <c r="A32" t="s">
        <v>24</v>
      </c>
      <c r="B32" t="s">
        <v>26</v>
      </c>
      <c r="C32">
        <v>261.89</v>
      </c>
      <c r="D32">
        <v>4.4000000000000004</v>
      </c>
      <c r="E32">
        <v>4565</v>
      </c>
    </row>
    <row r="33" spans="1:5" ht="14.5" x14ac:dyDescent="0.35">
      <c r="A33" t="s">
        <v>24</v>
      </c>
      <c r="B33" t="s">
        <v>30</v>
      </c>
      <c r="C33">
        <v>260</v>
      </c>
      <c r="D33">
        <v>4.4000000000000004</v>
      </c>
      <c r="E33">
        <v>4328</v>
      </c>
    </row>
    <row r="34" spans="1:5" ht="14.5" x14ac:dyDescent="0.35">
      <c r="A34" t="s">
        <v>11</v>
      </c>
      <c r="B34" t="s">
        <v>12</v>
      </c>
      <c r="C34">
        <v>260</v>
      </c>
      <c r="D34">
        <v>4.3</v>
      </c>
      <c r="E34">
        <v>1949</v>
      </c>
    </row>
    <row r="35" spans="1:5" ht="14.5" x14ac:dyDescent="0.35">
      <c r="A35" t="s">
        <v>24</v>
      </c>
      <c r="B35" t="s">
        <v>25</v>
      </c>
      <c r="C35">
        <v>256.11</v>
      </c>
      <c r="D35">
        <v>4.5</v>
      </c>
      <c r="E35">
        <v>6734</v>
      </c>
    </row>
    <row r="36" spans="1:5" ht="14.5" x14ac:dyDescent="0.35">
      <c r="A36" t="s">
        <v>11</v>
      </c>
      <c r="B36" t="s">
        <v>19</v>
      </c>
      <c r="C36">
        <v>250</v>
      </c>
      <c r="D36">
        <v>4.3</v>
      </c>
      <c r="E36">
        <v>1168</v>
      </c>
    </row>
    <row r="37" spans="1:5" ht="14.5" x14ac:dyDescent="0.35">
      <c r="A37" t="s">
        <v>31</v>
      </c>
      <c r="B37" t="s">
        <v>32</v>
      </c>
      <c r="C37">
        <v>235</v>
      </c>
      <c r="D37">
        <v>4.3</v>
      </c>
      <c r="E37">
        <v>62</v>
      </c>
    </row>
    <row r="38" spans="1:5" ht="14.5" x14ac:dyDescent="0.35">
      <c r="A38" t="s">
        <v>51</v>
      </c>
      <c r="B38" t="s">
        <v>58</v>
      </c>
      <c r="C38">
        <v>199</v>
      </c>
      <c r="D38">
        <v>4.4000000000000004</v>
      </c>
      <c r="E38">
        <v>623</v>
      </c>
    </row>
    <row r="39" spans="1:5" ht="14.5" x14ac:dyDescent="0.35">
      <c r="A39" t="s">
        <v>51</v>
      </c>
      <c r="B39" t="s">
        <v>56</v>
      </c>
      <c r="C39">
        <v>199</v>
      </c>
      <c r="D39">
        <v>4.3</v>
      </c>
      <c r="E39">
        <v>1030</v>
      </c>
    </row>
    <row r="40" spans="1:5" ht="14.5" x14ac:dyDescent="0.35">
      <c r="A40" t="s">
        <v>31</v>
      </c>
      <c r="B40" t="s">
        <v>34</v>
      </c>
      <c r="C40">
        <v>195</v>
      </c>
      <c r="D40">
        <v>4.4000000000000004</v>
      </c>
      <c r="E40">
        <v>6</v>
      </c>
    </row>
    <row r="41" spans="1:5" ht="14.5" x14ac:dyDescent="0.35">
      <c r="A41" t="s">
        <v>51</v>
      </c>
      <c r="B41" t="s">
        <v>61</v>
      </c>
      <c r="C41">
        <v>189</v>
      </c>
      <c r="D41">
        <v>4.3</v>
      </c>
      <c r="E41">
        <v>11</v>
      </c>
    </row>
    <row r="42" spans="1:5" ht="14.5" x14ac:dyDescent="0.35">
      <c r="A42" t="s">
        <v>51</v>
      </c>
      <c r="B42" t="s">
        <v>52</v>
      </c>
      <c r="C42">
        <v>179</v>
      </c>
      <c r="D42">
        <v>4.4000000000000004</v>
      </c>
      <c r="E42">
        <v>884</v>
      </c>
    </row>
    <row r="43" spans="1:5" ht="14.5" x14ac:dyDescent="0.35">
      <c r="A43" t="s">
        <v>51</v>
      </c>
      <c r="B43" t="s">
        <v>60</v>
      </c>
      <c r="C43">
        <v>169</v>
      </c>
      <c r="D43">
        <v>4.5</v>
      </c>
      <c r="E43">
        <v>605</v>
      </c>
    </row>
    <row r="44" spans="1:5" ht="14.5" x14ac:dyDescent="0.35">
      <c r="A44" t="s">
        <v>51</v>
      </c>
      <c r="B44" t="s">
        <v>66</v>
      </c>
      <c r="C44">
        <v>169</v>
      </c>
      <c r="D44">
        <v>4.4000000000000004</v>
      </c>
      <c r="E44">
        <v>2707</v>
      </c>
    </row>
    <row r="45" spans="1:5" ht="14.5" x14ac:dyDescent="0.35">
      <c r="A45" t="s">
        <v>51</v>
      </c>
      <c r="B45" t="s">
        <v>62</v>
      </c>
      <c r="C45">
        <v>165</v>
      </c>
      <c r="D45">
        <v>4.3</v>
      </c>
      <c r="E45">
        <v>722</v>
      </c>
    </row>
    <row r="46" spans="1:5" ht="14.5" x14ac:dyDescent="0.35">
      <c r="A46" t="s">
        <v>51</v>
      </c>
      <c r="B46" t="s">
        <v>53</v>
      </c>
      <c r="C46">
        <v>119</v>
      </c>
      <c r="D46">
        <v>4.2</v>
      </c>
      <c r="E46">
        <v>322</v>
      </c>
    </row>
    <row r="47" spans="1:5" ht="14.5" x14ac:dyDescent="0.35">
      <c r="A47" t="s">
        <v>51</v>
      </c>
      <c r="B47" t="s">
        <v>63</v>
      </c>
      <c r="C47">
        <v>119</v>
      </c>
      <c r="D47">
        <v>4.0999999999999996</v>
      </c>
      <c r="E47">
        <v>172</v>
      </c>
    </row>
    <row r="48" spans="1:5" ht="14.5" x14ac:dyDescent="0.35">
      <c r="A48" t="s">
        <v>51</v>
      </c>
      <c r="B48" t="s">
        <v>55</v>
      </c>
      <c r="C48">
        <v>99</v>
      </c>
      <c r="D48">
        <v>3.8</v>
      </c>
      <c r="E48">
        <v>714</v>
      </c>
    </row>
    <row r="49" spans="1:6" ht="14.5" x14ac:dyDescent="0.35">
      <c r="A49" t="s">
        <v>51</v>
      </c>
      <c r="B49" t="s">
        <v>59</v>
      </c>
      <c r="C49">
        <v>79</v>
      </c>
      <c r="D49">
        <v>4.5</v>
      </c>
      <c r="E49">
        <v>802</v>
      </c>
    </row>
    <row r="51" spans="1:6" ht="15" customHeight="1" x14ac:dyDescent="0.35">
      <c r="D51" s="2" t="s">
        <v>70</v>
      </c>
    </row>
    <row r="52" spans="1:6" ht="15" customHeight="1" x14ac:dyDescent="0.35">
      <c r="E52">
        <f>COUNTA(Table_1[books])</f>
        <v>48</v>
      </c>
    </row>
    <row r="54" spans="1:6" ht="15" customHeight="1" x14ac:dyDescent="0.35">
      <c r="D54" s="2" t="s">
        <v>68</v>
      </c>
    </row>
    <row r="55" spans="1:6" ht="15" customHeight="1" x14ac:dyDescent="0.35">
      <c r="E55" s="1">
        <f>AVERAGE(Table_1[price])</f>
        <v>478.4375</v>
      </c>
      <c r="F55" s="1"/>
    </row>
    <row r="57" spans="1:6" ht="15" customHeight="1" x14ac:dyDescent="0.35">
      <c r="D57" s="2" t="s">
        <v>69</v>
      </c>
    </row>
    <row r="58" spans="1:6" ht="15" customHeight="1" x14ac:dyDescent="0.35">
      <c r="E58" s="2">
        <f>AVERAGE(D:D)</f>
        <v>4.1020833333333355</v>
      </c>
    </row>
  </sheetData>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872CE02C-5E56-47C7-A17C-5BE6060DDC76}">
            <xm:f>NOT(ISERROR(SEARCH(#REF!,A1)))</xm:f>
            <xm:f>#REF!</xm:f>
            <x14:dxf>
              <font>
                <color rgb="FF9C0006"/>
              </font>
              <fill>
                <patternFill>
                  <bgColor rgb="FFFFC7CE"/>
                </patternFill>
              </fill>
            </x14:dxf>
          </x14:cfRule>
          <xm:sqref>A1:A1048576</xm:sqref>
        </x14:conditionalFormatting>
        <x14:conditionalFormatting xmlns:xm="http://schemas.microsoft.com/office/excel/2006/main">
          <x14:cfRule type="containsText" priority="2" operator="containsText" id="{90C77A02-48A4-4141-9E23-4BD482DD8AF9}">
            <xm:f>NOT(ISERROR(SEARCH(#REF!,A50)))</xm:f>
            <xm:f>#REF!</xm:f>
            <x14:dxf>
              <font>
                <color rgb="FF006100"/>
              </font>
              <fill>
                <patternFill>
                  <bgColor rgb="FFC6EFCE"/>
                </patternFill>
              </fill>
            </x14:dxf>
          </x14:cfRule>
          <xm:sqref>A50:A1048576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05E26E-0462-4869-9CD6-862F858807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bhuvi1002i@gmail.com</dc:creator>
  <cp:lastModifiedBy>bhuvi1002i@gmail.com</cp:lastModifiedBy>
  <dcterms:created xsi:type="dcterms:W3CDTF">2026-02-21T07:42:27Z</dcterms:created>
  <dcterms:modified xsi:type="dcterms:W3CDTF">2026-02-22T07:47:06Z</dcterms:modified>
</cp:coreProperties>
</file>